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cminds\scripts\WDFW_SOS_Analysis\results 2024-10-23\"/>
    </mc:Choice>
  </mc:AlternateContent>
  <xr:revisionPtr revIDLastSave="0" documentId="13_ncr:1_{62FC2013-3533-4735-BEFF-C4650F0812D5}" xr6:coauthVersionLast="47" xr6:coauthVersionMax="47" xr10:uidLastSave="{00000000-0000-0000-0000-000000000000}"/>
  <bookViews>
    <workbookView xWindow="11800" yWindow="2160" windowWidth="24630" windowHeight="17920" xr2:uid="{013F07C5-6B7C-4317-8455-459D9317614E}"/>
  </bookViews>
  <sheets>
    <sheet name="Sheet1" sheetId="1" r:id="rId1"/>
  </sheets>
  <definedNames>
    <definedName name="_xlnm._FilterDatabase" localSheetId="0" hidden="1">Sheet1!$A$1:$I$75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2" i="1"/>
</calcChain>
</file>

<file path=xl/sharedStrings.xml><?xml version="1.0" encoding="utf-8"?>
<sst xmlns="http://schemas.openxmlformats.org/spreadsheetml/2006/main" count="306" uniqueCount="33">
  <si>
    <t>Q2.5.</t>
  </si>
  <si>
    <t>Q25.</t>
  </si>
  <si>
    <t>Q50.</t>
  </si>
  <si>
    <t>Q75.</t>
  </si>
  <si>
    <t>Q97.5.</t>
  </si>
  <si>
    <t>COMMON_POPULATION_NAME</t>
  </si>
  <si>
    <t>ESU</t>
  </si>
  <si>
    <t>model</t>
  </si>
  <si>
    <t>exclusions</t>
  </si>
  <si>
    <t>Cascade River - spring Chinook salmon</t>
  </si>
  <si>
    <t>Puget Sound Chinook</t>
  </si>
  <si>
    <t>original</t>
  </si>
  <si>
    <t>none</t>
  </si>
  <si>
    <t>Cedar River - fall Chinook salmon</t>
  </si>
  <si>
    <t>Dungeness River - summer Chinook salmon</t>
  </si>
  <si>
    <t>Elwha River - fall Chinook salmon</t>
  </si>
  <si>
    <t>Green River - fall Chinook salmon</t>
  </si>
  <si>
    <t>Lower Sauk River - summer Chinook salmon</t>
  </si>
  <si>
    <t>Lower Skagit River - fall Chinook salmon</t>
  </si>
  <si>
    <t>Nisqually River - fall Chinook salmon</t>
  </si>
  <si>
    <t>North Fork Nooksack River (including Middle Fork Nooksack River) - spring Chinook salmon</t>
  </si>
  <si>
    <t>North Fork Stillaguamish River - summer Chinook salmon</t>
  </si>
  <si>
    <t>Skokomish River - fall Chinook salmon</t>
  </si>
  <si>
    <t>Skykomish River - summer Chinook salmon</t>
  </si>
  <si>
    <t>Snoqualmie River - fall Chinook salmon</t>
  </si>
  <si>
    <t>South Fork Nooksack River - spring Chinook salmon</t>
  </si>
  <si>
    <t>South Fork Stillaguamish River - fall Chinook salmon</t>
  </si>
  <si>
    <t>Suiattle River - spring Chinook salmon</t>
  </si>
  <si>
    <t>Upper Sauk River - spring Chinook salmon</t>
  </si>
  <si>
    <t>Upper Skagit River - summer Chinook salmon</t>
  </si>
  <si>
    <t>White River - spring Chinook salmon</t>
  </si>
  <si>
    <t>new-RCM</t>
  </si>
  <si>
    <t>Q50 in 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</si>
</sst>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D3C7-F083-4FD1-8FC0-86801BB35479}">
  <dimension ref="A1:J75"/>
  <sheetViews>
    <sheetView tabSelected="1" workbookViewId="0">
      <selection activeCell="F8" sqref="F8"/>
    </sheetView>
  </sheetViews>
  <sheetFormatPr defaultRowHeight="14.5" x14ac:dyDescent="0.35"/>
  <cols>
    <col min="1" max="3" width="12.6328125" bestFit="1" customWidth="1"/>
    <col min="4" max="5" width="12" bestFit="1" customWidth="1"/>
    <col min="6" max="6" width="74.26953125" bestFit="1" customWidth="1"/>
    <col min="7" max="7" width="18" bestFit="1" customWidth="1"/>
    <col min="8" max="8" width="8.54296875" bestFit="1" customWidth="1"/>
    <col min="9" max="9" width="27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</v>
      </c>
    </row>
    <row r="2" spans="1:10" x14ac:dyDescent="0.35">
      <c r="A2">
        <v>-3.1840127415325797E-2</v>
      </c>
      <c r="B2">
        <v>5.9828655447975001E-3</v>
      </c>
      <c r="C2">
        <v>2.6802896054596001E-2</v>
      </c>
      <c r="D2">
        <v>4.8738127528540599E-2</v>
      </c>
      <c r="E2">
        <v>9.5822452100382705E-2</v>
      </c>
      <c r="F2" t="s">
        <v>9</v>
      </c>
      <c r="G2" t="s">
        <v>10</v>
      </c>
      <c r="H2" t="s">
        <v>11</v>
      </c>
      <c r="I2" t="s">
        <v>12</v>
      </c>
      <c r="J2">
        <f>100*EXP(C2)-100</f>
        <v>2.7165324471474293</v>
      </c>
    </row>
    <row r="3" spans="1:10" x14ac:dyDescent="0.35">
      <c r="A3">
        <v>-4.73276498850599E-2</v>
      </c>
      <c r="B3">
        <v>-1.0014098482640101E-2</v>
      </c>
      <c r="C3">
        <v>6.4023617316113701E-3</v>
      </c>
      <c r="D3">
        <v>2.5456469498491702E-2</v>
      </c>
      <c r="E3">
        <v>6.7901076945219699E-2</v>
      </c>
      <c r="F3" t="s">
        <v>9</v>
      </c>
      <c r="G3" t="s">
        <v>10</v>
      </c>
      <c r="H3" t="s">
        <v>11</v>
      </c>
      <c r="I3" t="s">
        <v>15</v>
      </c>
      <c r="J3">
        <f t="shared" ref="J3:J66" si="0">100*EXP(C3)-100</f>
        <v>0.64229006586333526</v>
      </c>
    </row>
    <row r="4" spans="1:10" x14ac:dyDescent="0.35">
      <c r="A4">
        <v>-0.13691993980190501</v>
      </c>
      <c r="B4">
        <v>-3.31956368209856E-2</v>
      </c>
      <c r="C4">
        <v>1.49537726911349E-2</v>
      </c>
      <c r="D4">
        <v>6.4744727357338494E-2</v>
      </c>
      <c r="E4">
        <v>0.163300475072438</v>
      </c>
      <c r="F4" t="s">
        <v>9</v>
      </c>
      <c r="G4" t="s">
        <v>10</v>
      </c>
      <c r="H4" t="s">
        <v>31</v>
      </c>
      <c r="I4" t="s">
        <v>12</v>
      </c>
      <c r="J4">
        <f t="shared" si="0"/>
        <v>1.5066139755161458</v>
      </c>
    </row>
    <row r="5" spans="1:10" x14ac:dyDescent="0.35">
      <c r="A5">
        <v>-0.13576780142064501</v>
      </c>
      <c r="B5">
        <v>-3.3579324561427502E-2</v>
      </c>
      <c r="C5">
        <v>1.32981481099314E-2</v>
      </c>
      <c r="D5">
        <v>6.2244216721985102E-2</v>
      </c>
      <c r="E5">
        <v>0.16009870030146101</v>
      </c>
      <c r="F5" t="s">
        <v>9</v>
      </c>
      <c r="G5" t="s">
        <v>10</v>
      </c>
      <c r="H5" t="s">
        <v>31</v>
      </c>
      <c r="I5" t="s">
        <v>15</v>
      </c>
      <c r="J5">
        <f t="shared" si="0"/>
        <v>1.3386961730407592</v>
      </c>
    </row>
    <row r="6" spans="1:10" x14ac:dyDescent="0.35">
      <c r="A6">
        <v>-4.4100351324537997E-2</v>
      </c>
      <c r="B6">
        <v>1.0746837784883401E-3</v>
      </c>
      <c r="C6">
        <v>2.26179842664395E-2</v>
      </c>
      <c r="D6">
        <v>4.5110005181029103E-2</v>
      </c>
      <c r="E6">
        <v>8.9539400649882306E-2</v>
      </c>
      <c r="F6" t="s">
        <v>13</v>
      </c>
      <c r="G6" t="s">
        <v>10</v>
      </c>
      <c r="H6" t="s">
        <v>11</v>
      </c>
      <c r="I6" t="s">
        <v>12</v>
      </c>
      <c r="J6">
        <f t="shared" si="0"/>
        <v>2.2875710285700848</v>
      </c>
    </row>
    <row r="7" spans="1:10" x14ac:dyDescent="0.35">
      <c r="A7">
        <v>-4.9638985095612299E-2</v>
      </c>
      <c r="B7">
        <v>-1.30991986237208E-2</v>
      </c>
      <c r="C7">
        <v>4.4948873322127802E-3</v>
      </c>
      <c r="D7">
        <v>2.30124401439506E-2</v>
      </c>
      <c r="E7">
        <v>6.6057102982564106E-2</v>
      </c>
      <c r="F7" t="s">
        <v>13</v>
      </c>
      <c r="G7" t="s">
        <v>10</v>
      </c>
      <c r="H7" t="s">
        <v>11</v>
      </c>
      <c r="I7" t="s">
        <v>15</v>
      </c>
      <c r="J7">
        <f t="shared" si="0"/>
        <v>0.45050044910941267</v>
      </c>
    </row>
    <row r="8" spans="1:10" x14ac:dyDescent="0.35">
      <c r="A8">
        <v>-0.144078914618437</v>
      </c>
      <c r="B8">
        <v>-3.83509076700543E-2</v>
      </c>
      <c r="C8">
        <v>1.23096054998668E-2</v>
      </c>
      <c r="D8">
        <v>6.2176941800450101E-2</v>
      </c>
      <c r="E8">
        <v>0.15862102144148901</v>
      </c>
      <c r="F8" t="s">
        <v>13</v>
      </c>
      <c r="G8" t="s">
        <v>10</v>
      </c>
      <c r="H8" t="s">
        <v>31</v>
      </c>
      <c r="I8" t="s">
        <v>12</v>
      </c>
      <c r="J8">
        <f t="shared" si="0"/>
        <v>1.2385680524360509</v>
      </c>
    </row>
    <row r="9" spans="1:10" x14ac:dyDescent="0.35">
      <c r="A9">
        <v>-0.14182591664039401</v>
      </c>
      <c r="B9">
        <v>-3.7827062789480698E-2</v>
      </c>
      <c r="C9">
        <v>1.02984064073858E-2</v>
      </c>
      <c r="D9">
        <v>5.9598029607165502E-2</v>
      </c>
      <c r="E9">
        <v>0.15849373204776801</v>
      </c>
      <c r="F9" t="s">
        <v>13</v>
      </c>
      <c r="G9" t="s">
        <v>10</v>
      </c>
      <c r="H9" t="s">
        <v>31</v>
      </c>
      <c r="I9" t="s">
        <v>15</v>
      </c>
      <c r="J9">
        <f t="shared" si="0"/>
        <v>1.0351617500938204</v>
      </c>
    </row>
    <row r="10" spans="1:10" x14ac:dyDescent="0.35">
      <c r="A10">
        <v>-2.9723881756332299E-2</v>
      </c>
      <c r="B10">
        <v>1.0443822947895001E-2</v>
      </c>
      <c r="C10">
        <v>3.2044182486836999E-2</v>
      </c>
      <c r="D10">
        <v>5.5490738547908397E-2</v>
      </c>
      <c r="E10">
        <v>0.109267095918473</v>
      </c>
      <c r="F10" t="s">
        <v>14</v>
      </c>
      <c r="G10" t="s">
        <v>10</v>
      </c>
      <c r="H10" t="s">
        <v>11</v>
      </c>
      <c r="I10" t="s">
        <v>12</v>
      </c>
      <c r="J10">
        <f t="shared" si="0"/>
        <v>3.2563125504005086</v>
      </c>
    </row>
    <row r="11" spans="1:10" x14ac:dyDescent="0.35">
      <c r="A11">
        <v>-3.7006002688685397E-2</v>
      </c>
      <c r="B11">
        <v>-4.8030864908340902E-3</v>
      </c>
      <c r="C11">
        <v>1.1729992133406E-2</v>
      </c>
      <c r="D11">
        <v>3.1865555990022498E-2</v>
      </c>
      <c r="E11">
        <v>7.8271789247927395E-2</v>
      </c>
      <c r="F11" t="s">
        <v>14</v>
      </c>
      <c r="G11" t="s">
        <v>10</v>
      </c>
      <c r="H11" t="s">
        <v>11</v>
      </c>
      <c r="I11" t="s">
        <v>15</v>
      </c>
      <c r="J11">
        <f t="shared" si="0"/>
        <v>1.1799058275386614</v>
      </c>
    </row>
    <row r="12" spans="1:10" x14ac:dyDescent="0.35">
      <c r="A12">
        <v>-0.122933490386959</v>
      </c>
      <c r="B12">
        <v>-1.31155279999045E-2</v>
      </c>
      <c r="C12">
        <v>3.6800872104365702E-2</v>
      </c>
      <c r="D12">
        <v>8.9740622180167803E-2</v>
      </c>
      <c r="E12">
        <v>0.195714104536578</v>
      </c>
      <c r="F12" t="s">
        <v>14</v>
      </c>
      <c r="G12" t="s">
        <v>10</v>
      </c>
      <c r="H12" t="s">
        <v>31</v>
      </c>
      <c r="I12" t="s">
        <v>12</v>
      </c>
      <c r="J12">
        <f t="shared" si="0"/>
        <v>3.7486407782497508</v>
      </c>
    </row>
    <row r="13" spans="1:10" x14ac:dyDescent="0.35">
      <c r="A13">
        <v>-0.11967977166081201</v>
      </c>
      <c r="B13">
        <v>-1.6929336185326702E-2</v>
      </c>
      <c r="C13">
        <v>3.2520099457055501E-2</v>
      </c>
      <c r="D13">
        <v>8.4076798094256402E-2</v>
      </c>
      <c r="E13">
        <v>0.18899890166335701</v>
      </c>
      <c r="F13" t="s">
        <v>14</v>
      </c>
      <c r="G13" t="s">
        <v>10</v>
      </c>
      <c r="H13" t="s">
        <v>31</v>
      </c>
      <c r="I13" t="s">
        <v>15</v>
      </c>
      <c r="J13">
        <f t="shared" si="0"/>
        <v>3.3054656773012709</v>
      </c>
    </row>
    <row r="14" spans="1:10" x14ac:dyDescent="0.35">
      <c r="A14">
        <v>-2.18149968131283E-2</v>
      </c>
      <c r="B14">
        <v>1.5283934670189301E-2</v>
      </c>
      <c r="C14">
        <v>3.9134778992813597E-2</v>
      </c>
      <c r="D14">
        <v>6.3659547972751099E-2</v>
      </c>
      <c r="E14">
        <v>0.128325110695271</v>
      </c>
      <c r="F14" t="s">
        <v>15</v>
      </c>
      <c r="G14" t="s">
        <v>10</v>
      </c>
      <c r="H14" t="s">
        <v>11</v>
      </c>
      <c r="I14" t="s">
        <v>12</v>
      </c>
      <c r="J14">
        <f t="shared" si="0"/>
        <v>3.9910632313037127</v>
      </c>
    </row>
    <row r="15" spans="1:10" x14ac:dyDescent="0.35">
      <c r="A15">
        <v>-9.4473757224641394E-2</v>
      </c>
      <c r="B15">
        <v>2.4206029307017499E-2</v>
      </c>
      <c r="C15">
        <v>9.1959084181342202E-2</v>
      </c>
      <c r="D15">
        <v>0.170917000420923</v>
      </c>
      <c r="E15">
        <v>0.31536963302323401</v>
      </c>
      <c r="F15" t="s">
        <v>15</v>
      </c>
      <c r="G15" t="s">
        <v>10</v>
      </c>
      <c r="H15" t="s">
        <v>31</v>
      </c>
      <c r="I15" t="s">
        <v>12</v>
      </c>
      <c r="J15">
        <f t="shared" si="0"/>
        <v>9.631996433427588</v>
      </c>
    </row>
    <row r="16" spans="1:10" x14ac:dyDescent="0.35">
      <c r="A16">
        <v>-3.8588215563174301E-2</v>
      </c>
      <c r="B16">
        <v>3.09772951792935E-3</v>
      </c>
      <c r="C16">
        <v>2.38532788771692E-2</v>
      </c>
      <c r="D16">
        <v>4.6370097670755298E-2</v>
      </c>
      <c r="E16">
        <v>9.1977572292728696E-2</v>
      </c>
      <c r="F16" t="s">
        <v>16</v>
      </c>
      <c r="G16" t="s">
        <v>10</v>
      </c>
      <c r="H16" t="s">
        <v>11</v>
      </c>
      <c r="I16" t="s">
        <v>12</v>
      </c>
      <c r="J16">
        <f t="shared" si="0"/>
        <v>2.414004388953046</v>
      </c>
    </row>
    <row r="17" spans="1:10" x14ac:dyDescent="0.35">
      <c r="A17">
        <v>-4.8065179428789399E-2</v>
      </c>
      <c r="B17">
        <v>-9.5255459740851492E-3</v>
      </c>
      <c r="C17">
        <v>7.3594953582578997E-3</v>
      </c>
      <c r="D17">
        <v>2.49516400479394E-2</v>
      </c>
      <c r="E17">
        <v>6.9710663996729899E-2</v>
      </c>
      <c r="F17" t="s">
        <v>16</v>
      </c>
      <c r="G17" t="s">
        <v>10</v>
      </c>
      <c r="H17" t="s">
        <v>11</v>
      </c>
      <c r="I17" t="s">
        <v>15</v>
      </c>
      <c r="J17">
        <f t="shared" si="0"/>
        <v>0.73866430010085082</v>
      </c>
    </row>
    <row r="18" spans="1:10" x14ac:dyDescent="0.35">
      <c r="A18">
        <v>-0.13449361667583601</v>
      </c>
      <c r="B18">
        <v>-3.14305409167168E-2</v>
      </c>
      <c r="C18">
        <v>1.8563174941724801E-2</v>
      </c>
      <c r="D18">
        <v>6.9859386933211698E-2</v>
      </c>
      <c r="E18">
        <v>0.16572864549239399</v>
      </c>
      <c r="F18" t="s">
        <v>16</v>
      </c>
      <c r="G18" t="s">
        <v>10</v>
      </c>
      <c r="H18" t="s">
        <v>31</v>
      </c>
      <c r="I18" t="s">
        <v>12</v>
      </c>
      <c r="J18">
        <f t="shared" si="0"/>
        <v>1.8736541758350285</v>
      </c>
    </row>
    <row r="19" spans="1:10" x14ac:dyDescent="0.35">
      <c r="A19">
        <v>-0.13406816423013901</v>
      </c>
      <c r="B19">
        <v>-3.1364575751342001E-2</v>
      </c>
      <c r="C19">
        <v>1.73720838144352E-2</v>
      </c>
      <c r="D19">
        <v>6.6696649531489294E-2</v>
      </c>
      <c r="E19">
        <v>0.16678450866632399</v>
      </c>
      <c r="F19" t="s">
        <v>16</v>
      </c>
      <c r="G19" t="s">
        <v>10</v>
      </c>
      <c r="H19" t="s">
        <v>31</v>
      </c>
      <c r="I19" t="s">
        <v>15</v>
      </c>
      <c r="J19">
        <f t="shared" si="0"/>
        <v>1.7523856055376257</v>
      </c>
    </row>
    <row r="20" spans="1:10" x14ac:dyDescent="0.35">
      <c r="A20">
        <v>-3.8551936798252098E-2</v>
      </c>
      <c r="B20">
        <v>4.0778669600000997E-3</v>
      </c>
      <c r="C20">
        <v>2.5589684093640298E-2</v>
      </c>
      <c r="D20">
        <v>4.7588759852627498E-2</v>
      </c>
      <c r="E20">
        <v>9.2498687766048804E-2</v>
      </c>
      <c r="F20" t="s">
        <v>17</v>
      </c>
      <c r="G20" t="s">
        <v>10</v>
      </c>
      <c r="H20" t="s">
        <v>11</v>
      </c>
      <c r="I20" t="s">
        <v>12</v>
      </c>
      <c r="J20">
        <f t="shared" si="0"/>
        <v>2.5919910842060858</v>
      </c>
    </row>
    <row r="21" spans="1:10" x14ac:dyDescent="0.35">
      <c r="A21">
        <v>-4.7435065486496002E-2</v>
      </c>
      <c r="B21">
        <v>-1.07160245844257E-2</v>
      </c>
      <c r="C21">
        <v>6.5657589021314603E-3</v>
      </c>
      <c r="D21">
        <v>2.54133944315366E-2</v>
      </c>
      <c r="E21">
        <v>7.0862456692838402E-2</v>
      </c>
      <c r="F21" t="s">
        <v>17</v>
      </c>
      <c r="G21" t="s">
        <v>10</v>
      </c>
      <c r="H21" t="s">
        <v>11</v>
      </c>
      <c r="I21" t="s">
        <v>15</v>
      </c>
      <c r="J21">
        <f t="shared" si="0"/>
        <v>0.65873607487382912</v>
      </c>
    </row>
    <row r="22" spans="1:10" x14ac:dyDescent="0.35">
      <c r="A22">
        <v>-0.13930633302877601</v>
      </c>
      <c r="B22">
        <v>-3.6666493290201503E-2</v>
      </c>
      <c r="C22">
        <v>1.2542592546483201E-2</v>
      </c>
      <c r="D22">
        <v>6.1564900215034003E-2</v>
      </c>
      <c r="E22">
        <v>0.15741128433434801</v>
      </c>
      <c r="F22" t="s">
        <v>17</v>
      </c>
      <c r="G22" t="s">
        <v>10</v>
      </c>
      <c r="H22" t="s">
        <v>31</v>
      </c>
      <c r="I22" t="s">
        <v>12</v>
      </c>
      <c r="J22">
        <f t="shared" si="0"/>
        <v>1.2621580753884558</v>
      </c>
    </row>
    <row r="23" spans="1:10" x14ac:dyDescent="0.35">
      <c r="A23">
        <v>-0.137684973566985</v>
      </c>
      <c r="B23">
        <v>-3.6372011373535303E-2</v>
      </c>
      <c r="C23">
        <v>1.16209702752236E-2</v>
      </c>
      <c r="D23">
        <v>6.0817855247181897E-2</v>
      </c>
      <c r="E23">
        <v>0.159222669172325</v>
      </c>
      <c r="F23" t="s">
        <v>17</v>
      </c>
      <c r="G23" t="s">
        <v>10</v>
      </c>
      <c r="H23" t="s">
        <v>31</v>
      </c>
      <c r="I23" t="s">
        <v>15</v>
      </c>
      <c r="J23">
        <f t="shared" si="0"/>
        <v>1.1688756074730691</v>
      </c>
    </row>
    <row r="24" spans="1:10" x14ac:dyDescent="0.35">
      <c r="A24">
        <v>-3.9319207682558303E-2</v>
      </c>
      <c r="B24">
        <v>4.2936976810953398E-3</v>
      </c>
      <c r="C24">
        <v>2.54082919972346E-2</v>
      </c>
      <c r="D24">
        <v>4.7402108007032803E-2</v>
      </c>
      <c r="E24">
        <v>9.5735631247375899E-2</v>
      </c>
      <c r="F24" t="s">
        <v>18</v>
      </c>
      <c r="G24" t="s">
        <v>10</v>
      </c>
      <c r="H24" t="s">
        <v>11</v>
      </c>
      <c r="I24" t="s">
        <v>12</v>
      </c>
      <c r="J24">
        <f t="shared" si="0"/>
        <v>2.573383395563738</v>
      </c>
    </row>
    <row r="25" spans="1:10" x14ac:dyDescent="0.35">
      <c r="A25">
        <v>-4.7454880960885501E-2</v>
      </c>
      <c r="B25">
        <v>-1.04705027437657E-2</v>
      </c>
      <c r="C25">
        <v>7.12468890613555E-3</v>
      </c>
      <c r="D25">
        <v>2.5858095831586499E-2</v>
      </c>
      <c r="E25">
        <v>6.8023452220960498E-2</v>
      </c>
      <c r="F25" t="s">
        <v>18</v>
      </c>
      <c r="G25" t="s">
        <v>10</v>
      </c>
      <c r="H25" t="s">
        <v>11</v>
      </c>
      <c r="I25" t="s">
        <v>15</v>
      </c>
      <c r="J25">
        <f t="shared" si="0"/>
        <v>0.71501298859392648</v>
      </c>
    </row>
    <row r="26" spans="1:10" x14ac:dyDescent="0.35">
      <c r="A26">
        <v>-0.136715884347959</v>
      </c>
      <c r="B26">
        <v>-3.4019063765002903E-2</v>
      </c>
      <c r="C26">
        <v>1.4693039834535199E-2</v>
      </c>
      <c r="D26">
        <v>6.4110104982377999E-2</v>
      </c>
      <c r="E26">
        <v>0.163299487874772</v>
      </c>
      <c r="F26" t="s">
        <v>18</v>
      </c>
      <c r="G26" t="s">
        <v>10</v>
      </c>
      <c r="H26" t="s">
        <v>31</v>
      </c>
      <c r="I26" t="s">
        <v>12</v>
      </c>
      <c r="J26">
        <f t="shared" si="0"/>
        <v>1.4801513160828392</v>
      </c>
    </row>
    <row r="27" spans="1:10" x14ac:dyDescent="0.35">
      <c r="A27">
        <v>-0.135707814562331</v>
      </c>
      <c r="B27">
        <v>-3.4074328100922202E-2</v>
      </c>
      <c r="C27">
        <v>1.46549126368493E-2</v>
      </c>
      <c r="D27">
        <v>6.3345723982389301E-2</v>
      </c>
      <c r="E27">
        <v>0.16247452095964099</v>
      </c>
      <c r="F27" t="s">
        <v>18</v>
      </c>
      <c r="G27" t="s">
        <v>10</v>
      </c>
      <c r="H27" t="s">
        <v>31</v>
      </c>
      <c r="I27" t="s">
        <v>15</v>
      </c>
      <c r="J27">
        <f t="shared" si="0"/>
        <v>1.4762822360514747</v>
      </c>
    </row>
    <row r="28" spans="1:10" x14ac:dyDescent="0.35">
      <c r="A28">
        <v>-3.2263352572885103E-2</v>
      </c>
      <c r="B28">
        <v>7.5936915887091496E-3</v>
      </c>
      <c r="C28">
        <v>2.8119139775838901E-2</v>
      </c>
      <c r="D28">
        <v>5.0179867724072999E-2</v>
      </c>
      <c r="E28">
        <v>9.6189453718861007E-2</v>
      </c>
      <c r="F28" t="s">
        <v>19</v>
      </c>
      <c r="G28" t="s">
        <v>10</v>
      </c>
      <c r="H28" t="s">
        <v>11</v>
      </c>
      <c r="I28" t="s">
        <v>12</v>
      </c>
      <c r="J28">
        <f t="shared" si="0"/>
        <v>2.8518214551701959</v>
      </c>
    </row>
    <row r="29" spans="1:10" x14ac:dyDescent="0.35">
      <c r="A29">
        <v>-3.9320193171146801E-2</v>
      </c>
      <c r="B29">
        <v>-6.3749097514377798E-3</v>
      </c>
      <c r="C29">
        <v>1.0132084858975101E-2</v>
      </c>
      <c r="D29">
        <v>2.9474600234853501E-2</v>
      </c>
      <c r="E29">
        <v>7.1322216146192899E-2</v>
      </c>
      <c r="F29" t="s">
        <v>19</v>
      </c>
      <c r="G29" t="s">
        <v>10</v>
      </c>
      <c r="H29" t="s">
        <v>11</v>
      </c>
      <c r="I29" t="s">
        <v>15</v>
      </c>
      <c r="J29">
        <f t="shared" si="0"/>
        <v>1.0183588229307787</v>
      </c>
    </row>
    <row r="30" spans="1:10" x14ac:dyDescent="0.35">
      <c r="A30">
        <v>-0.124390851490776</v>
      </c>
      <c r="B30">
        <v>-2.0858269043425502E-2</v>
      </c>
      <c r="C30">
        <v>2.9111091341476301E-2</v>
      </c>
      <c r="D30">
        <v>7.8667444325804803E-2</v>
      </c>
      <c r="E30">
        <v>0.179855092032842</v>
      </c>
      <c r="F30" t="s">
        <v>19</v>
      </c>
      <c r="G30" t="s">
        <v>10</v>
      </c>
      <c r="H30" t="s">
        <v>31</v>
      </c>
      <c r="I30" t="s">
        <v>12</v>
      </c>
      <c r="J30">
        <f t="shared" si="0"/>
        <v>2.9538960986726721</v>
      </c>
    </row>
    <row r="31" spans="1:10" x14ac:dyDescent="0.35">
      <c r="A31">
        <v>-0.128774768498679</v>
      </c>
      <c r="B31">
        <v>-2.5352026172184801E-2</v>
      </c>
      <c r="C31">
        <v>2.4353625465005E-2</v>
      </c>
      <c r="D31">
        <v>7.4707426176888303E-2</v>
      </c>
      <c r="E31">
        <v>0.17538008391798601</v>
      </c>
      <c r="F31" t="s">
        <v>19</v>
      </c>
      <c r="G31" t="s">
        <v>10</v>
      </c>
      <c r="H31" t="s">
        <v>31</v>
      </c>
      <c r="I31" t="s">
        <v>15</v>
      </c>
      <c r="J31">
        <f t="shared" si="0"/>
        <v>2.4652597082384347</v>
      </c>
    </row>
    <row r="32" spans="1:10" x14ac:dyDescent="0.35">
      <c r="A32">
        <v>-3.5566916615905698E-2</v>
      </c>
      <c r="B32">
        <v>5.2927360285339002E-3</v>
      </c>
      <c r="C32">
        <v>2.6194399918350299E-2</v>
      </c>
      <c r="D32">
        <v>4.8873749111960997E-2</v>
      </c>
      <c r="E32">
        <v>9.6388199624729706E-2</v>
      </c>
      <c r="F32" t="s">
        <v>20</v>
      </c>
      <c r="G32" t="s">
        <v>10</v>
      </c>
      <c r="H32" t="s">
        <v>11</v>
      </c>
      <c r="I32" t="s">
        <v>12</v>
      </c>
      <c r="J32">
        <f t="shared" si="0"/>
        <v>2.6540488464675605</v>
      </c>
    </row>
    <row r="33" spans="1:10" x14ac:dyDescent="0.35">
      <c r="A33">
        <v>-4.37050088288507E-2</v>
      </c>
      <c r="B33">
        <v>-7.2336435515943098E-3</v>
      </c>
      <c r="C33">
        <v>8.7332127272415593E-3</v>
      </c>
      <c r="D33">
        <v>2.7529462857754299E-2</v>
      </c>
      <c r="E33">
        <v>7.3965491755583299E-2</v>
      </c>
      <c r="F33" t="s">
        <v>20</v>
      </c>
      <c r="G33" t="s">
        <v>10</v>
      </c>
      <c r="H33" t="s">
        <v>11</v>
      </c>
      <c r="I33" t="s">
        <v>15</v>
      </c>
      <c r="J33">
        <f t="shared" si="0"/>
        <v>0.87714584845485888</v>
      </c>
    </row>
    <row r="34" spans="1:10" x14ac:dyDescent="0.35">
      <c r="A34">
        <v>-0.13624284444925699</v>
      </c>
      <c r="B34">
        <v>-2.8241083086745101E-2</v>
      </c>
      <c r="C34">
        <v>2.2282452637688001E-2</v>
      </c>
      <c r="D34">
        <v>7.1559994067207103E-2</v>
      </c>
      <c r="E34">
        <v>0.17267843868111399</v>
      </c>
      <c r="F34" t="s">
        <v>20</v>
      </c>
      <c r="G34" t="s">
        <v>10</v>
      </c>
      <c r="H34" t="s">
        <v>31</v>
      </c>
      <c r="I34" t="s">
        <v>12</v>
      </c>
      <c r="J34">
        <f t="shared" si="0"/>
        <v>2.2532560704606794</v>
      </c>
    </row>
    <row r="35" spans="1:10" x14ac:dyDescent="0.35">
      <c r="A35">
        <v>-0.135727512166992</v>
      </c>
      <c r="B35">
        <v>-3.0737604064226098E-2</v>
      </c>
      <c r="C35">
        <v>1.82246274767906E-2</v>
      </c>
      <c r="D35">
        <v>6.8539494493589995E-2</v>
      </c>
      <c r="E35">
        <v>0.168121158608217</v>
      </c>
      <c r="F35" t="s">
        <v>20</v>
      </c>
      <c r="G35" t="s">
        <v>10</v>
      </c>
      <c r="H35" t="s">
        <v>31</v>
      </c>
      <c r="I35" t="s">
        <v>15</v>
      </c>
      <c r="J35">
        <f t="shared" si="0"/>
        <v>1.8391709459046268</v>
      </c>
    </row>
    <row r="36" spans="1:10" x14ac:dyDescent="0.35">
      <c r="A36">
        <v>-4.5667558983330102E-2</v>
      </c>
      <c r="B36">
        <v>2.2554818100988701E-3</v>
      </c>
      <c r="C36">
        <v>2.40104189394468E-2</v>
      </c>
      <c r="D36">
        <v>4.5452278654209102E-2</v>
      </c>
      <c r="E36">
        <v>8.9174060908868605E-2</v>
      </c>
      <c r="F36" t="s">
        <v>21</v>
      </c>
      <c r="G36" t="s">
        <v>10</v>
      </c>
      <c r="H36" t="s">
        <v>11</v>
      </c>
      <c r="I36" t="s">
        <v>12</v>
      </c>
      <c r="J36">
        <f t="shared" si="0"/>
        <v>2.4300989965015276</v>
      </c>
    </row>
    <row r="37" spans="1:10" x14ac:dyDescent="0.35">
      <c r="A37">
        <v>-4.9936484108604101E-2</v>
      </c>
      <c r="B37">
        <v>-1.22362693190535E-2</v>
      </c>
      <c r="C37">
        <v>5.2362392422125401E-3</v>
      </c>
      <c r="D37">
        <v>2.3318094749034401E-2</v>
      </c>
      <c r="E37">
        <v>6.7671373853052705E-2</v>
      </c>
      <c r="F37" t="s">
        <v>21</v>
      </c>
      <c r="G37" t="s">
        <v>10</v>
      </c>
      <c r="H37" t="s">
        <v>11</v>
      </c>
      <c r="I37" t="s">
        <v>15</v>
      </c>
      <c r="J37">
        <f t="shared" si="0"/>
        <v>0.52499723023132105</v>
      </c>
    </row>
    <row r="38" spans="1:10" x14ac:dyDescent="0.35">
      <c r="A38">
        <v>-0.154644146500996</v>
      </c>
      <c r="B38">
        <v>-4.3925578338921703E-2</v>
      </c>
      <c r="C38">
        <v>7.5172309667640002E-3</v>
      </c>
      <c r="D38">
        <v>5.62895220279261E-2</v>
      </c>
      <c r="E38">
        <v>0.15725129071844501</v>
      </c>
      <c r="F38" t="s">
        <v>21</v>
      </c>
      <c r="G38" t="s">
        <v>10</v>
      </c>
      <c r="H38" t="s">
        <v>31</v>
      </c>
      <c r="I38" t="s">
        <v>12</v>
      </c>
      <c r="J38">
        <f t="shared" si="0"/>
        <v>0.75455562789549901</v>
      </c>
    </row>
    <row r="39" spans="1:10" x14ac:dyDescent="0.35">
      <c r="A39">
        <v>-0.15010913488487099</v>
      </c>
      <c r="B39">
        <v>-4.3771937551227699E-2</v>
      </c>
      <c r="C39">
        <v>7.2107350754736198E-3</v>
      </c>
      <c r="D39">
        <v>5.5941146860006001E-2</v>
      </c>
      <c r="E39">
        <v>0.15729933318771999</v>
      </c>
      <c r="F39" t="s">
        <v>21</v>
      </c>
      <c r="G39" t="s">
        <v>10</v>
      </c>
      <c r="H39" t="s">
        <v>31</v>
      </c>
      <c r="I39" t="s">
        <v>15</v>
      </c>
      <c r="J39">
        <f t="shared" si="0"/>
        <v>0.72367950251124569</v>
      </c>
    </row>
    <row r="40" spans="1:10" x14ac:dyDescent="0.35">
      <c r="A40">
        <v>-4.0022768293974602E-2</v>
      </c>
      <c r="B40">
        <v>3.0567019927497802E-3</v>
      </c>
      <c r="C40">
        <v>2.4473131820093301E-2</v>
      </c>
      <c r="D40">
        <v>4.6565610485670698E-2</v>
      </c>
      <c r="E40">
        <v>9.1751667056067701E-2</v>
      </c>
      <c r="F40" t="s">
        <v>22</v>
      </c>
      <c r="G40" t="s">
        <v>10</v>
      </c>
      <c r="H40" t="s">
        <v>11</v>
      </c>
      <c r="I40" t="s">
        <v>12</v>
      </c>
      <c r="J40">
        <f t="shared" si="0"/>
        <v>2.4775056896710623</v>
      </c>
    </row>
    <row r="41" spans="1:10" x14ac:dyDescent="0.35">
      <c r="A41">
        <v>-4.7303604185188801E-2</v>
      </c>
      <c r="B41">
        <v>-1.0521348546695199E-2</v>
      </c>
      <c r="C41">
        <v>7.1846727269958104E-3</v>
      </c>
      <c r="D41">
        <v>2.4827292810596199E-2</v>
      </c>
      <c r="E41">
        <v>6.6177533273651806E-2</v>
      </c>
      <c r="F41" t="s">
        <v>22</v>
      </c>
      <c r="G41" t="s">
        <v>10</v>
      </c>
      <c r="H41" t="s">
        <v>11</v>
      </c>
      <c r="I41" t="s">
        <v>15</v>
      </c>
      <c r="J41">
        <f t="shared" si="0"/>
        <v>0.72105444108387928</v>
      </c>
    </row>
    <row r="42" spans="1:10" x14ac:dyDescent="0.35">
      <c r="A42">
        <v>-0.13805830801477001</v>
      </c>
      <c r="B42">
        <v>-3.2891375019620299E-2</v>
      </c>
      <c r="C42">
        <v>1.8145601498168001E-2</v>
      </c>
      <c r="D42">
        <v>6.9520465666005504E-2</v>
      </c>
      <c r="E42">
        <v>0.17165994960040501</v>
      </c>
      <c r="F42" t="s">
        <v>22</v>
      </c>
      <c r="G42" t="s">
        <v>10</v>
      </c>
      <c r="H42" t="s">
        <v>31</v>
      </c>
      <c r="I42" t="s">
        <v>12</v>
      </c>
      <c r="J42">
        <f t="shared" si="0"/>
        <v>1.8311233237482867</v>
      </c>
    </row>
    <row r="43" spans="1:10" x14ac:dyDescent="0.35">
      <c r="A43">
        <v>-0.13810393707219501</v>
      </c>
      <c r="B43">
        <v>-3.3583263574023699E-2</v>
      </c>
      <c r="C43">
        <v>1.49757993614661E-2</v>
      </c>
      <c r="D43">
        <v>6.5053346573677298E-2</v>
      </c>
      <c r="E43">
        <v>0.16703916765179</v>
      </c>
      <c r="F43" t="s">
        <v>22</v>
      </c>
      <c r="G43" t="s">
        <v>10</v>
      </c>
      <c r="H43" t="s">
        <v>31</v>
      </c>
      <c r="I43" t="s">
        <v>15</v>
      </c>
      <c r="J43">
        <f t="shared" si="0"/>
        <v>1.5088498528629941</v>
      </c>
    </row>
    <row r="44" spans="1:10" x14ac:dyDescent="0.35">
      <c r="A44">
        <v>-3.8389439134694503E-2</v>
      </c>
      <c r="B44">
        <v>3.7589172741438201E-3</v>
      </c>
      <c r="C44">
        <v>2.4083574606433299E-2</v>
      </c>
      <c r="D44">
        <v>4.6288841918421697E-2</v>
      </c>
      <c r="E44">
        <v>8.9102519314194606E-2</v>
      </c>
      <c r="F44" t="s">
        <v>23</v>
      </c>
      <c r="G44" t="s">
        <v>10</v>
      </c>
      <c r="H44" t="s">
        <v>11</v>
      </c>
      <c r="I44" t="s">
        <v>12</v>
      </c>
      <c r="J44">
        <f t="shared" si="0"/>
        <v>2.4375926128100218</v>
      </c>
    </row>
    <row r="45" spans="1:10" x14ac:dyDescent="0.35">
      <c r="A45">
        <v>-4.6823306130758101E-2</v>
      </c>
      <c r="B45">
        <v>-1.08156287371357E-2</v>
      </c>
      <c r="C45">
        <v>5.7465729375053599E-3</v>
      </c>
      <c r="D45">
        <v>2.3863342897875901E-2</v>
      </c>
      <c r="E45">
        <v>6.6489925699007593E-2</v>
      </c>
      <c r="F45" t="s">
        <v>23</v>
      </c>
      <c r="G45" t="s">
        <v>10</v>
      </c>
      <c r="H45" t="s">
        <v>11</v>
      </c>
      <c r="I45" t="s">
        <v>15</v>
      </c>
      <c r="J45">
        <f t="shared" si="0"/>
        <v>0.576311616153518</v>
      </c>
    </row>
    <row r="46" spans="1:10" x14ac:dyDescent="0.35">
      <c r="A46">
        <v>-0.14060462698783799</v>
      </c>
      <c r="B46">
        <v>-3.7784529230403097E-2</v>
      </c>
      <c r="C46">
        <v>1.1512244071334299E-2</v>
      </c>
      <c r="D46">
        <v>5.9646640629850901E-2</v>
      </c>
      <c r="E46">
        <v>0.153784576604269</v>
      </c>
      <c r="F46" t="s">
        <v>23</v>
      </c>
      <c r="G46" t="s">
        <v>10</v>
      </c>
      <c r="H46" t="s">
        <v>31</v>
      </c>
      <c r="I46" t="s">
        <v>12</v>
      </c>
      <c r="J46">
        <f t="shared" si="0"/>
        <v>1.1578764976330973</v>
      </c>
    </row>
    <row r="47" spans="1:10" x14ac:dyDescent="0.35">
      <c r="A47">
        <v>-0.13829372403071699</v>
      </c>
      <c r="B47">
        <v>-3.6774169987290398E-2</v>
      </c>
      <c r="C47">
        <v>1.11901357942911E-2</v>
      </c>
      <c r="D47">
        <v>5.9001293543111101E-2</v>
      </c>
      <c r="E47">
        <v>0.154699346506463</v>
      </c>
      <c r="F47" t="s">
        <v>23</v>
      </c>
      <c r="G47" t="s">
        <v>10</v>
      </c>
      <c r="H47" t="s">
        <v>31</v>
      </c>
      <c r="I47" t="s">
        <v>15</v>
      </c>
      <c r="J47">
        <f t="shared" si="0"/>
        <v>1.1252979555158191</v>
      </c>
    </row>
    <row r="48" spans="1:10" x14ac:dyDescent="0.35">
      <c r="A48">
        <v>-4.6090446887076197E-2</v>
      </c>
      <c r="B48">
        <v>-1.03477709915559E-3</v>
      </c>
      <c r="C48">
        <v>2.0604389283138101E-2</v>
      </c>
      <c r="D48">
        <v>4.3156409087845599E-2</v>
      </c>
      <c r="E48">
        <v>8.7331625715195302E-2</v>
      </c>
      <c r="F48" t="s">
        <v>24</v>
      </c>
      <c r="G48" t="s">
        <v>10</v>
      </c>
      <c r="H48" t="s">
        <v>11</v>
      </c>
      <c r="I48" t="s">
        <v>12</v>
      </c>
      <c r="J48">
        <f t="shared" si="0"/>
        <v>2.0818125153696343</v>
      </c>
    </row>
    <row r="49" spans="1:10" x14ac:dyDescent="0.35">
      <c r="A49">
        <v>-5.4097405329483803E-2</v>
      </c>
      <c r="B49">
        <v>-1.5600829765864599E-2</v>
      </c>
      <c r="C49">
        <v>2.2552771088727502E-3</v>
      </c>
      <c r="D49">
        <v>2.02629182460527E-2</v>
      </c>
      <c r="E49">
        <v>6.3018469232605095E-2</v>
      </c>
      <c r="F49" t="s">
        <v>24</v>
      </c>
      <c r="G49" t="s">
        <v>10</v>
      </c>
      <c r="H49" t="s">
        <v>11</v>
      </c>
      <c r="I49" t="s">
        <v>15</v>
      </c>
      <c r="J49">
        <f t="shared" si="0"/>
        <v>0.22578221591966496</v>
      </c>
    </row>
    <row r="50" spans="1:10" x14ac:dyDescent="0.35">
      <c r="A50">
        <v>-0.159855250652956</v>
      </c>
      <c r="B50">
        <v>-5.4863585317928697E-2</v>
      </c>
      <c r="C50">
        <v>-5.2178053632049304E-3</v>
      </c>
      <c r="D50">
        <v>4.28497123198118E-2</v>
      </c>
      <c r="E50">
        <v>0.14028940639479301</v>
      </c>
      <c r="F50" t="s">
        <v>24</v>
      </c>
      <c r="G50" t="s">
        <v>10</v>
      </c>
      <c r="H50" t="s">
        <v>31</v>
      </c>
      <c r="I50" t="s">
        <v>12</v>
      </c>
      <c r="J50">
        <f t="shared" si="0"/>
        <v>-0.52042162621688703</v>
      </c>
    </row>
    <row r="51" spans="1:10" x14ac:dyDescent="0.35">
      <c r="A51">
        <v>-0.15874422940240601</v>
      </c>
      <c r="B51">
        <v>-5.31433357377094E-2</v>
      </c>
      <c r="C51">
        <v>-4.32154264179115E-3</v>
      </c>
      <c r="D51">
        <v>4.4551906751562897E-2</v>
      </c>
      <c r="E51">
        <v>0.142674970045477</v>
      </c>
      <c r="F51" t="s">
        <v>24</v>
      </c>
      <c r="G51" t="s">
        <v>10</v>
      </c>
      <c r="H51" t="s">
        <v>31</v>
      </c>
      <c r="I51" t="s">
        <v>15</v>
      </c>
      <c r="J51">
        <f t="shared" si="0"/>
        <v>-0.43122182131965303</v>
      </c>
    </row>
    <row r="52" spans="1:10" x14ac:dyDescent="0.35">
      <c r="A52">
        <v>-4.1489028043676698E-2</v>
      </c>
      <c r="B52">
        <v>3.2583885805730298E-3</v>
      </c>
      <c r="C52">
        <v>2.4888183024380801E-2</v>
      </c>
      <c r="D52">
        <v>4.62622305406033E-2</v>
      </c>
      <c r="E52">
        <v>9.1801254830888801E-2</v>
      </c>
      <c r="F52" t="s">
        <v>25</v>
      </c>
      <c r="G52" t="s">
        <v>10</v>
      </c>
      <c r="H52" t="s">
        <v>11</v>
      </c>
      <c r="I52" t="s">
        <v>12</v>
      </c>
      <c r="J52">
        <f t="shared" si="0"/>
        <v>2.5200479298132166</v>
      </c>
    </row>
    <row r="53" spans="1:10" x14ac:dyDescent="0.35">
      <c r="A53">
        <v>-4.9614419482026197E-2</v>
      </c>
      <c r="B53">
        <v>-1.1503422616838401E-2</v>
      </c>
      <c r="C53">
        <v>5.6030585192346103E-3</v>
      </c>
      <c r="D53">
        <v>2.4471192870691199E-2</v>
      </c>
      <c r="E53">
        <v>6.7342279234899993E-2</v>
      </c>
      <c r="F53" t="s">
        <v>25</v>
      </c>
      <c r="G53" t="s">
        <v>10</v>
      </c>
      <c r="H53" t="s">
        <v>11</v>
      </c>
      <c r="I53" t="s">
        <v>15</v>
      </c>
      <c r="J53">
        <f t="shared" si="0"/>
        <v>0.56187850100495496</v>
      </c>
    </row>
    <row r="54" spans="1:10" x14ac:dyDescent="0.35">
      <c r="A54">
        <v>-0.154812851421471</v>
      </c>
      <c r="B54">
        <v>-3.88329967137429E-2</v>
      </c>
      <c r="C54">
        <v>1.5427600382633E-2</v>
      </c>
      <c r="D54">
        <v>6.7761013059095404E-2</v>
      </c>
      <c r="E54">
        <v>0.17829685832387401</v>
      </c>
      <c r="F54" t="s">
        <v>25</v>
      </c>
      <c r="G54" t="s">
        <v>10</v>
      </c>
      <c r="H54" t="s">
        <v>31</v>
      </c>
      <c r="I54" t="s">
        <v>12</v>
      </c>
      <c r="J54">
        <f t="shared" si="0"/>
        <v>1.5547220166488955</v>
      </c>
    </row>
    <row r="55" spans="1:10" x14ac:dyDescent="0.35">
      <c r="A55">
        <v>-0.14836950657426501</v>
      </c>
      <c r="B55">
        <v>-4.0274959067642398E-2</v>
      </c>
      <c r="C55">
        <v>1.15516452199503E-2</v>
      </c>
      <c r="D55">
        <v>6.3770416406037894E-2</v>
      </c>
      <c r="E55">
        <v>0.165579763524388</v>
      </c>
      <c r="F55" t="s">
        <v>25</v>
      </c>
      <c r="G55" t="s">
        <v>10</v>
      </c>
      <c r="H55" t="s">
        <v>31</v>
      </c>
      <c r="I55" t="s">
        <v>15</v>
      </c>
      <c r="J55">
        <f t="shared" si="0"/>
        <v>1.1618623126809808</v>
      </c>
    </row>
    <row r="56" spans="1:10" x14ac:dyDescent="0.35">
      <c r="A56">
        <v>-4.8730178830811099E-2</v>
      </c>
      <c r="B56" s="1">
        <v>6.2880392132361705E-5</v>
      </c>
      <c r="C56">
        <v>2.2599772271517399E-2</v>
      </c>
      <c r="D56">
        <v>4.4132867613836002E-2</v>
      </c>
      <c r="E56">
        <v>9.0494337403536504E-2</v>
      </c>
      <c r="F56" t="s">
        <v>26</v>
      </c>
      <c r="G56" t="s">
        <v>10</v>
      </c>
      <c r="H56" t="s">
        <v>11</v>
      </c>
      <c r="I56" t="s">
        <v>12</v>
      </c>
      <c r="J56">
        <f t="shared" si="0"/>
        <v>2.2857081848090246</v>
      </c>
    </row>
    <row r="57" spans="1:10" x14ac:dyDescent="0.35">
      <c r="A57">
        <v>-5.4230694304671402E-2</v>
      </c>
      <c r="B57">
        <v>-1.4446354299887099E-2</v>
      </c>
      <c r="C57">
        <v>3.5976987341302499E-3</v>
      </c>
      <c r="D57">
        <v>2.2450893363752899E-2</v>
      </c>
      <c r="E57">
        <v>6.4314436675405706E-2</v>
      </c>
      <c r="F57" t="s">
        <v>26</v>
      </c>
      <c r="G57" t="s">
        <v>10</v>
      </c>
      <c r="H57" t="s">
        <v>11</v>
      </c>
      <c r="I57" t="s">
        <v>15</v>
      </c>
      <c r="J57">
        <f t="shared" si="0"/>
        <v>0.36041782203039929</v>
      </c>
    </row>
    <row r="58" spans="1:10" x14ac:dyDescent="0.35">
      <c r="A58">
        <v>-0.15797356106126501</v>
      </c>
      <c r="B58">
        <v>-4.7904308620955599E-2</v>
      </c>
      <c r="C58">
        <v>4.4246418672678504E-3</v>
      </c>
      <c r="D58">
        <v>5.6300985369827403E-2</v>
      </c>
      <c r="E58">
        <v>0.152355154091282</v>
      </c>
      <c r="F58" t="s">
        <v>26</v>
      </c>
      <c r="G58" t="s">
        <v>10</v>
      </c>
      <c r="H58" t="s">
        <v>31</v>
      </c>
      <c r="I58" t="s">
        <v>12</v>
      </c>
      <c r="J58">
        <f t="shared" si="0"/>
        <v>0.44344450482836351</v>
      </c>
    </row>
    <row r="59" spans="1:10" x14ac:dyDescent="0.35">
      <c r="A59">
        <v>-0.15781131288407399</v>
      </c>
      <c r="B59">
        <v>-4.7606559920097803E-2</v>
      </c>
      <c r="C59">
        <v>4.26366993436369E-3</v>
      </c>
      <c r="D59">
        <v>5.4978493666303599E-2</v>
      </c>
      <c r="E59">
        <v>0.155393620218928</v>
      </c>
      <c r="F59" t="s">
        <v>26</v>
      </c>
      <c r="G59" t="s">
        <v>10</v>
      </c>
      <c r="H59" t="s">
        <v>31</v>
      </c>
      <c r="I59" t="s">
        <v>15</v>
      </c>
      <c r="J59">
        <f t="shared" si="0"/>
        <v>0.42727723069246792</v>
      </c>
    </row>
    <row r="60" spans="1:10" x14ac:dyDescent="0.35">
      <c r="A60">
        <v>-3.1669058049810003E-2</v>
      </c>
      <c r="B60">
        <v>6.4052240339478204E-3</v>
      </c>
      <c r="C60">
        <v>2.6169842822510399E-2</v>
      </c>
      <c r="D60">
        <v>4.84117035477118E-2</v>
      </c>
      <c r="E60">
        <v>9.4094161069931806E-2</v>
      </c>
      <c r="F60" t="s">
        <v>27</v>
      </c>
      <c r="G60" t="s">
        <v>10</v>
      </c>
      <c r="H60" t="s">
        <v>11</v>
      </c>
      <c r="I60" t="s">
        <v>12</v>
      </c>
      <c r="J60">
        <f t="shared" si="0"/>
        <v>2.651527992104235</v>
      </c>
    </row>
    <row r="61" spans="1:10" x14ac:dyDescent="0.35">
      <c r="A61">
        <v>-4.00309783411954E-2</v>
      </c>
      <c r="B61">
        <v>-6.2686605786612002E-3</v>
      </c>
      <c r="C61">
        <v>1.06737680855317E-2</v>
      </c>
      <c r="D61">
        <v>2.8523304867830199E-2</v>
      </c>
      <c r="E61">
        <v>7.3004287039446406E-2</v>
      </c>
      <c r="F61" t="s">
        <v>27</v>
      </c>
      <c r="G61" t="s">
        <v>10</v>
      </c>
      <c r="H61" t="s">
        <v>11</v>
      </c>
      <c r="I61" t="s">
        <v>15</v>
      </c>
      <c r="J61">
        <f t="shared" si="0"/>
        <v>1.07309359659547</v>
      </c>
    </row>
    <row r="62" spans="1:10" x14ac:dyDescent="0.35">
      <c r="A62">
        <v>-0.12742781859861599</v>
      </c>
      <c r="B62">
        <v>-2.2726802602299701E-2</v>
      </c>
      <c r="C62">
        <v>2.6850148132335799E-2</v>
      </c>
      <c r="D62">
        <v>7.6570962116781993E-2</v>
      </c>
      <c r="E62">
        <v>0.174896924186449</v>
      </c>
      <c r="F62" t="s">
        <v>27</v>
      </c>
      <c r="G62" t="s">
        <v>10</v>
      </c>
      <c r="H62" t="s">
        <v>31</v>
      </c>
      <c r="I62" t="s">
        <v>12</v>
      </c>
      <c r="J62">
        <f t="shared" si="0"/>
        <v>2.7213861313962013</v>
      </c>
    </row>
    <row r="63" spans="1:10" x14ac:dyDescent="0.35">
      <c r="A63">
        <v>-0.12836337452295599</v>
      </c>
      <c r="B63">
        <v>-2.28492184928593E-2</v>
      </c>
      <c r="C63">
        <v>2.51548099495498E-2</v>
      </c>
      <c r="D63">
        <v>7.4694145854388799E-2</v>
      </c>
      <c r="E63">
        <v>0.17180971194929501</v>
      </c>
      <c r="F63" t="s">
        <v>27</v>
      </c>
      <c r="G63" t="s">
        <v>10</v>
      </c>
      <c r="H63" t="s">
        <v>31</v>
      </c>
      <c r="I63" t="s">
        <v>15</v>
      </c>
      <c r="J63">
        <f t="shared" si="0"/>
        <v>2.5473861793556836</v>
      </c>
    </row>
    <row r="64" spans="1:10" x14ac:dyDescent="0.35">
      <c r="A64">
        <v>-2.3668306821989199E-2</v>
      </c>
      <c r="B64">
        <v>1.42949019339089E-2</v>
      </c>
      <c r="C64">
        <v>3.6208680567090097E-2</v>
      </c>
      <c r="D64">
        <v>5.8777358683993801E-2</v>
      </c>
      <c r="E64">
        <v>0.11097129477140601</v>
      </c>
      <c r="F64" t="s">
        <v>28</v>
      </c>
      <c r="G64" t="s">
        <v>10</v>
      </c>
      <c r="H64" t="s">
        <v>11</v>
      </c>
      <c r="I64" t="s">
        <v>12</v>
      </c>
      <c r="J64">
        <f t="shared" si="0"/>
        <v>3.687219899434325</v>
      </c>
    </row>
    <row r="65" spans="1:10" x14ac:dyDescent="0.35">
      <c r="A65">
        <v>-3.4450324378918297E-2</v>
      </c>
      <c r="B65">
        <v>-1.14136835503526E-4</v>
      </c>
      <c r="C65">
        <v>1.74808885903854E-2</v>
      </c>
      <c r="D65">
        <v>3.8461244749139603E-2</v>
      </c>
      <c r="E65">
        <v>8.5620268762454294E-2</v>
      </c>
      <c r="F65" t="s">
        <v>28</v>
      </c>
      <c r="G65" t="s">
        <v>10</v>
      </c>
      <c r="H65" t="s">
        <v>11</v>
      </c>
      <c r="I65" t="s">
        <v>15</v>
      </c>
      <c r="J65">
        <f t="shared" si="0"/>
        <v>1.7634573533744486</v>
      </c>
    </row>
    <row r="66" spans="1:10" x14ac:dyDescent="0.35">
      <c r="A66">
        <v>-9.7071234426984496E-2</v>
      </c>
      <c r="B66">
        <v>9.3859400013947495E-3</v>
      </c>
      <c r="C66">
        <v>5.8852479527943299E-2</v>
      </c>
      <c r="D66">
        <v>0.111248460251875</v>
      </c>
      <c r="E66">
        <v>0.21608515944590501</v>
      </c>
      <c r="F66" t="s">
        <v>28</v>
      </c>
      <c r="G66" t="s">
        <v>10</v>
      </c>
      <c r="H66" t="s">
        <v>31</v>
      </c>
      <c r="I66" t="s">
        <v>12</v>
      </c>
      <c r="J66">
        <f t="shared" si="0"/>
        <v>6.0618766217780404</v>
      </c>
    </row>
    <row r="67" spans="1:10" x14ac:dyDescent="0.35">
      <c r="A67">
        <v>-9.7959947545994394E-2</v>
      </c>
      <c r="B67">
        <v>5.6696685561786597E-3</v>
      </c>
      <c r="C67">
        <v>5.6764959569430201E-2</v>
      </c>
      <c r="D67">
        <v>0.106700765489636</v>
      </c>
      <c r="E67">
        <v>0.210246731237758</v>
      </c>
      <c r="F67" t="s">
        <v>28</v>
      </c>
      <c r="G67" t="s">
        <v>10</v>
      </c>
      <c r="H67" t="s">
        <v>31</v>
      </c>
      <c r="I67" t="s">
        <v>15</v>
      </c>
      <c r="J67">
        <f t="shared" ref="J67:J75" si="1">100*EXP(C67)-100</f>
        <v>5.8407012717901523</v>
      </c>
    </row>
    <row r="68" spans="1:10" x14ac:dyDescent="0.35">
      <c r="A68">
        <v>-3.7841745843679303E-2</v>
      </c>
      <c r="B68">
        <v>5.0305821274149202E-3</v>
      </c>
      <c r="C68">
        <v>2.59509933474164E-2</v>
      </c>
      <c r="D68">
        <v>4.6839846982724503E-2</v>
      </c>
      <c r="E68">
        <v>9.2319596190600706E-2</v>
      </c>
      <c r="F68" t="s">
        <v>29</v>
      </c>
      <c r="G68" t="s">
        <v>10</v>
      </c>
      <c r="H68" t="s">
        <v>11</v>
      </c>
      <c r="I68" t="s">
        <v>12</v>
      </c>
      <c r="J68">
        <f t="shared" si="1"/>
        <v>2.6290652171584696</v>
      </c>
    </row>
    <row r="69" spans="1:10" x14ac:dyDescent="0.35">
      <c r="A69">
        <v>-4.3260925557340103E-2</v>
      </c>
      <c r="B69">
        <v>-8.5241260743400705E-3</v>
      </c>
      <c r="C69">
        <v>8.4053952840326407E-3</v>
      </c>
      <c r="D69">
        <v>2.69117271824585E-2</v>
      </c>
      <c r="E69">
        <v>7.2840223067012599E-2</v>
      </c>
      <c r="F69" t="s">
        <v>29</v>
      </c>
      <c r="G69" t="s">
        <v>10</v>
      </c>
      <c r="H69" t="s">
        <v>11</v>
      </c>
      <c r="I69" t="s">
        <v>15</v>
      </c>
      <c r="J69">
        <f t="shared" si="1"/>
        <v>0.84408198017709424</v>
      </c>
    </row>
    <row r="70" spans="1:10" x14ac:dyDescent="0.35">
      <c r="A70">
        <v>-0.13035833156759</v>
      </c>
      <c r="B70">
        <v>-2.7233152530875999E-2</v>
      </c>
      <c r="C70">
        <v>2.0890525577637899E-2</v>
      </c>
      <c r="D70">
        <v>6.9077817864512003E-2</v>
      </c>
      <c r="E70">
        <v>0.166789268675892</v>
      </c>
      <c r="F70" t="s">
        <v>29</v>
      </c>
      <c r="G70" t="s">
        <v>10</v>
      </c>
      <c r="H70" t="s">
        <v>31</v>
      </c>
      <c r="I70" t="s">
        <v>12</v>
      </c>
      <c r="J70">
        <f t="shared" si="1"/>
        <v>2.1110260062592943</v>
      </c>
    </row>
    <row r="71" spans="1:10" x14ac:dyDescent="0.35">
      <c r="A71">
        <v>-0.12923444726139499</v>
      </c>
      <c r="B71">
        <v>-2.8716151894839999E-2</v>
      </c>
      <c r="C71">
        <v>2.025471151535E-2</v>
      </c>
      <c r="D71">
        <v>6.8074382043722806E-2</v>
      </c>
      <c r="E71">
        <v>0.165793652793227</v>
      </c>
      <c r="F71" t="s">
        <v>29</v>
      </c>
      <c r="G71" t="s">
        <v>10</v>
      </c>
      <c r="H71" t="s">
        <v>31</v>
      </c>
      <c r="I71" t="s">
        <v>15</v>
      </c>
      <c r="J71">
        <f t="shared" si="1"/>
        <v>2.0461230153135119</v>
      </c>
    </row>
    <row r="72" spans="1:10" x14ac:dyDescent="0.35">
      <c r="A72">
        <v>-3.2046097669953803E-2</v>
      </c>
      <c r="B72">
        <v>7.0316769480917403E-3</v>
      </c>
      <c r="C72">
        <v>2.7041317071748901E-2</v>
      </c>
      <c r="D72">
        <v>4.8420510618961202E-2</v>
      </c>
      <c r="E72">
        <v>9.5241815619782094E-2</v>
      </c>
      <c r="F72" t="s">
        <v>30</v>
      </c>
      <c r="G72" t="s">
        <v>10</v>
      </c>
      <c r="H72" t="s">
        <v>11</v>
      </c>
      <c r="I72" t="s">
        <v>12</v>
      </c>
      <c r="J72">
        <f t="shared" si="1"/>
        <v>2.7410251469630822</v>
      </c>
    </row>
    <row r="73" spans="1:10" x14ac:dyDescent="0.35">
      <c r="A73">
        <v>-3.7554420288296697E-2</v>
      </c>
      <c r="B73">
        <v>-5.9360750678262896E-3</v>
      </c>
      <c r="C73">
        <v>1.0214108026564601E-2</v>
      </c>
      <c r="D73">
        <v>2.8217713223213502E-2</v>
      </c>
      <c r="E73">
        <v>7.2769835981861403E-2</v>
      </c>
      <c r="F73" t="s">
        <v>30</v>
      </c>
      <c r="G73" t="s">
        <v>10</v>
      </c>
      <c r="H73" t="s">
        <v>11</v>
      </c>
      <c r="I73" t="s">
        <v>15</v>
      </c>
      <c r="J73">
        <f t="shared" si="1"/>
        <v>1.0266450085310623</v>
      </c>
    </row>
    <row r="74" spans="1:10" x14ac:dyDescent="0.35">
      <c r="A74">
        <v>-0.13037465163318401</v>
      </c>
      <c r="B74">
        <v>-2.54669328076873E-2</v>
      </c>
      <c r="C74">
        <v>2.2077682586477201E-2</v>
      </c>
      <c r="D74">
        <v>7.2972883356359E-2</v>
      </c>
      <c r="E74">
        <v>0.16987783314778601</v>
      </c>
      <c r="F74" t="s">
        <v>30</v>
      </c>
      <c r="G74" t="s">
        <v>10</v>
      </c>
      <c r="H74" t="s">
        <v>31</v>
      </c>
      <c r="I74" t="s">
        <v>12</v>
      </c>
      <c r="J74">
        <f t="shared" si="1"/>
        <v>2.2323198096114112</v>
      </c>
    </row>
    <row r="75" spans="1:10" x14ac:dyDescent="0.35">
      <c r="A75">
        <v>-0.12891204058122899</v>
      </c>
      <c r="B75">
        <v>-2.5954118206230399E-2</v>
      </c>
      <c r="C75">
        <v>2.22609540407139E-2</v>
      </c>
      <c r="D75">
        <v>7.0474058537860304E-2</v>
      </c>
      <c r="E75">
        <v>0.170285106807986</v>
      </c>
      <c r="F75" t="s">
        <v>30</v>
      </c>
      <c r="G75" t="s">
        <v>10</v>
      </c>
      <c r="H75" t="s">
        <v>31</v>
      </c>
      <c r="I75" t="s">
        <v>15</v>
      </c>
      <c r="J75">
        <f t="shared" si="1"/>
        <v>2.2510577925491475</v>
      </c>
    </row>
  </sheetData>
  <autoFilter ref="A1:I75" xr:uid="{5F74D3C7-F083-4FD1-8FC0-86801BB35479}">
    <sortState xmlns:xlrd2="http://schemas.microsoft.com/office/spreadsheetml/2017/richdata2" ref="A2:I75">
      <sortCondition ref="F1:F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McMinds</dc:creator>
  <cp:lastModifiedBy>Ryan McMinds</cp:lastModifiedBy>
  <dcterms:created xsi:type="dcterms:W3CDTF">2025-02-20T00:04:52Z</dcterms:created>
  <dcterms:modified xsi:type="dcterms:W3CDTF">2025-02-20T00:33:06Z</dcterms:modified>
</cp:coreProperties>
</file>